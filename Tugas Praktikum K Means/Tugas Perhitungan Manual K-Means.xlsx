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 4\AI\"/>
    </mc:Choice>
  </mc:AlternateContent>
  <xr:revisionPtr revIDLastSave="0" documentId="13_ncr:1_{47B08520-46E4-405E-B240-67F1F977B58F}" xr6:coauthVersionLast="47" xr6:coauthVersionMax="47" xr10:uidLastSave="{00000000-0000-0000-0000-000000000000}"/>
  <bookViews>
    <workbookView xWindow="-108" yWindow="-108" windowWidth="23256" windowHeight="12456" xr2:uid="{7577F360-19B7-4468-96BB-DB69E210D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1" l="1"/>
  <c r="J42" i="1" s="1"/>
  <c r="K33" i="1"/>
  <c r="K34" i="1"/>
  <c r="K35" i="1"/>
  <c r="K36" i="1"/>
  <c r="K37" i="1"/>
  <c r="K38" i="1"/>
  <c r="K39" i="1"/>
  <c r="K40" i="1"/>
  <c r="K41" i="1"/>
  <c r="K32" i="1"/>
  <c r="J33" i="1"/>
  <c r="J34" i="1"/>
  <c r="J35" i="1"/>
  <c r="J36" i="1"/>
  <c r="J37" i="1"/>
  <c r="J38" i="1"/>
  <c r="J39" i="1"/>
  <c r="J40" i="1"/>
  <c r="J41" i="1"/>
  <c r="J32" i="1"/>
  <c r="I33" i="1"/>
  <c r="I34" i="1"/>
  <c r="I35" i="1"/>
  <c r="I36" i="1"/>
  <c r="I37" i="1"/>
  <c r="I38" i="1"/>
  <c r="I39" i="1"/>
  <c r="I40" i="1"/>
  <c r="I41" i="1"/>
  <c r="I32" i="1"/>
  <c r="H40" i="1"/>
  <c r="H39" i="1"/>
  <c r="H38" i="1"/>
  <c r="H37" i="1"/>
  <c r="H41" i="1"/>
  <c r="H36" i="1"/>
  <c r="H35" i="1"/>
  <c r="H34" i="1"/>
  <c r="H33" i="1"/>
  <c r="H32" i="1"/>
  <c r="G40" i="1"/>
  <c r="G39" i="1"/>
  <c r="G38" i="1"/>
  <c r="G37" i="1"/>
  <c r="G41" i="1"/>
  <c r="G36" i="1"/>
  <c r="G35" i="1"/>
  <c r="G34" i="1"/>
  <c r="G33" i="1"/>
  <c r="G32" i="1"/>
  <c r="K42" i="1" l="1"/>
  <c r="K18" i="1" l="1"/>
  <c r="J27" i="1"/>
  <c r="J26" i="1"/>
  <c r="J25" i="1"/>
  <c r="K25" i="1" s="1"/>
  <c r="J24" i="1"/>
  <c r="J23" i="1"/>
  <c r="J22" i="1"/>
  <c r="K22" i="1" s="1"/>
  <c r="J21" i="1"/>
  <c r="K21" i="1" s="1"/>
  <c r="J20" i="1"/>
  <c r="K20" i="1" s="1"/>
  <c r="J19" i="1"/>
  <c r="J18" i="1"/>
  <c r="I27" i="1"/>
  <c r="K27" i="1" s="1"/>
  <c r="I26" i="1"/>
  <c r="I25" i="1"/>
  <c r="I24" i="1"/>
  <c r="I23" i="1"/>
  <c r="I22" i="1"/>
  <c r="I21" i="1"/>
  <c r="I20" i="1"/>
  <c r="I19" i="1"/>
  <c r="I18" i="1"/>
  <c r="K26" i="1"/>
  <c r="K24" i="1"/>
  <c r="K23" i="1"/>
  <c r="K19" i="1" l="1"/>
  <c r="J2" i="1" l="1"/>
  <c r="S6" i="1"/>
  <c r="S7" i="1" s="1"/>
  <c r="R6" i="1"/>
  <c r="R7" i="1" s="1"/>
  <c r="O8" i="1"/>
  <c r="O9" i="1" s="1"/>
  <c r="N8" i="1"/>
  <c r="N9" i="1" s="1"/>
  <c r="J10" i="1"/>
  <c r="J3" i="1"/>
  <c r="J4" i="1"/>
  <c r="J5" i="1"/>
  <c r="J6" i="1"/>
  <c r="J7" i="1"/>
  <c r="J8" i="1"/>
  <c r="J9" i="1"/>
  <c r="J11" i="1"/>
  <c r="I2" i="1"/>
  <c r="I11" i="1"/>
  <c r="I10" i="1"/>
  <c r="K10" i="1" s="1"/>
  <c r="I8" i="1"/>
  <c r="I7" i="1"/>
  <c r="I6" i="1"/>
  <c r="I5" i="1"/>
  <c r="I4" i="1"/>
  <c r="I3" i="1"/>
  <c r="I9" i="1"/>
  <c r="K5" i="1" l="1"/>
  <c r="K8" i="1"/>
  <c r="K2" i="1"/>
  <c r="K3" i="1"/>
  <c r="K9" i="1"/>
  <c r="K11" i="1"/>
  <c r="K6" i="1"/>
  <c r="K4" i="1"/>
  <c r="K7" i="1"/>
</calcChain>
</file>

<file path=xl/sharedStrings.xml><?xml version="1.0" encoding="utf-8"?>
<sst xmlns="http://schemas.openxmlformats.org/spreadsheetml/2006/main" count="98" uniqueCount="35">
  <si>
    <t>Siswa</t>
  </si>
  <si>
    <t>Dist_C1</t>
  </si>
  <si>
    <t>Dist_C2</t>
  </si>
  <si>
    <t>Cluster</t>
  </si>
  <si>
    <t>S1</t>
  </si>
  <si>
    <t>C1</t>
  </si>
  <si>
    <t>S2</t>
  </si>
  <si>
    <t>S3</t>
  </si>
  <si>
    <t>S4</t>
  </si>
  <si>
    <t>S5</t>
  </si>
  <si>
    <t>S6</t>
  </si>
  <si>
    <t>C2</t>
  </si>
  <si>
    <t>S7</t>
  </si>
  <si>
    <t>S8</t>
  </si>
  <si>
    <t>S9</t>
  </si>
  <si>
    <t>S10</t>
  </si>
  <si>
    <t>C1 = S1 = (2, 50)</t>
  </si>
  <si>
    <t>C2 = S9 = (10, 90)</t>
  </si>
  <si>
    <t>Jam Belajar (X)</t>
  </si>
  <si>
    <t>Nilai Ujian (Y)</t>
  </si>
  <si>
    <t>Iterasi 1</t>
  </si>
  <si>
    <t>Total:</t>
  </si>
  <si>
    <t>Mean:</t>
  </si>
  <si>
    <t>Menentukan Centroid Awal</t>
  </si>
  <si>
    <t>Centroid baru</t>
  </si>
  <si>
    <t>C1=(3,5, 57,5)</t>
  </si>
  <si>
    <t>C2=(8,5, 82,5)</t>
  </si>
  <si>
    <t>Iterasi 2</t>
  </si>
  <si>
    <t>Karena Cluster pada iterasi 2 tidak berubah, maka dapat disimpulkan bahwa telah konvergen</t>
  </si>
  <si>
    <t>a(i)</t>
  </si>
  <si>
    <t>b(i)</t>
  </si>
  <si>
    <t>s(i)</t>
  </si>
  <si>
    <t>Kategori</t>
  </si>
  <si>
    <t>Interpretasi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</si>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</sst>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085E-2C81-4A62-8D2D-876E2E85DBFB}">
  <dimension ref="A1:S42"/>
  <sheetViews>
    <sheetView tabSelected="1" topLeftCell="A19" zoomScaleNormal="100" workbookViewId="0">
      <selection activeCell="F42" sqref="F42:H42"/>
    </sheetView>
  </sheetViews>
  <sheetFormatPr defaultRowHeight="14.4" x14ac:dyDescent="0.3"/>
  <cols>
    <col min="1" max="1" width="24.77734375" style="3" bestFit="1" customWidth="1"/>
    <col min="2" max="2" width="13.5546875" style="3" bestFit="1" customWidth="1"/>
    <col min="3" max="3" width="12.33203125" style="3" bestFit="1" customWidth="1"/>
    <col min="4" max="4" width="12.33203125" style="3" customWidth="1"/>
    <col min="5" max="5" width="8.88671875" style="3"/>
    <col min="6" max="6" width="5.88671875" style="3" bestFit="1" customWidth="1"/>
    <col min="7" max="7" width="14.109375" style="3" bestFit="1" customWidth="1"/>
    <col min="8" max="8" width="12.88671875" style="3" bestFit="1" customWidth="1"/>
    <col min="9" max="9" width="15.6640625" style="3" customWidth="1"/>
    <col min="10" max="10" width="16.44140625" style="3" customWidth="1"/>
    <col min="11" max="11" width="16.33203125" style="3" bestFit="1" customWidth="1"/>
    <col min="12" max="12" width="12.33203125" style="3" bestFit="1" customWidth="1"/>
    <col min="13" max="13" width="6.21875" style="5" bestFit="1" customWidth="1"/>
    <col min="14" max="14" width="13.33203125" style="5" customWidth="1"/>
    <col min="15" max="16" width="8.88671875" style="3"/>
    <col min="17" max="17" width="6.21875" style="3" bestFit="1" customWidth="1"/>
    <col min="18" max="19" width="8.88671875" style="3"/>
    <col min="20" max="20" width="6" style="3" customWidth="1"/>
    <col min="21" max="16384" width="8.88671875" style="3"/>
  </cols>
  <sheetData>
    <row r="1" spans="1:19" x14ac:dyDescent="0.3">
      <c r="A1" s="1" t="s">
        <v>0</v>
      </c>
      <c r="B1" s="1" t="s">
        <v>18</v>
      </c>
      <c r="C1" s="1" t="s">
        <v>19</v>
      </c>
      <c r="D1" s="1"/>
      <c r="E1" s="6" t="s">
        <v>20</v>
      </c>
      <c r="F1" s="1" t="s">
        <v>0</v>
      </c>
      <c r="G1" s="1" t="s">
        <v>18</v>
      </c>
      <c r="H1" s="1" t="s">
        <v>19</v>
      </c>
      <c r="I1" s="1" t="s">
        <v>1</v>
      </c>
      <c r="J1" s="1" t="s">
        <v>2</v>
      </c>
      <c r="K1" s="1" t="s">
        <v>3</v>
      </c>
      <c r="M1" s="6" t="s">
        <v>5</v>
      </c>
      <c r="N1" s="6"/>
      <c r="O1" s="6"/>
      <c r="Q1" s="6" t="s">
        <v>11</v>
      </c>
      <c r="R1" s="6"/>
      <c r="S1" s="6"/>
    </row>
    <row r="2" spans="1:19" x14ac:dyDescent="0.3">
      <c r="A2" s="3" t="s">
        <v>4</v>
      </c>
      <c r="B2" s="3">
        <v>2</v>
      </c>
      <c r="C2" s="3">
        <v>50</v>
      </c>
      <c r="E2" s="6"/>
      <c r="F2" s="3" t="s">
        <v>4</v>
      </c>
      <c r="G2" s="3">
        <v>2</v>
      </c>
      <c r="H2" s="3">
        <v>50</v>
      </c>
      <c r="I2" s="5">
        <f>SQRT((G2-$B$14)^2+((H2-$C$14)^2))</f>
        <v>0</v>
      </c>
      <c r="J2" s="5">
        <f>SQRT((G2-$B$15)^2+((H2-$C$15)^2))</f>
        <v>40.792156108742276</v>
      </c>
      <c r="K2" s="3" t="str">
        <f>IF(I2&lt;=J2,"C1","C2")</f>
        <v>C1</v>
      </c>
      <c r="M2" s="3" t="s">
        <v>4</v>
      </c>
      <c r="N2" s="3">
        <v>2</v>
      </c>
      <c r="O2" s="3">
        <v>50</v>
      </c>
      <c r="Q2" s="3" t="s">
        <v>10</v>
      </c>
      <c r="R2" s="3">
        <v>7</v>
      </c>
      <c r="S2" s="3">
        <v>75</v>
      </c>
    </row>
    <row r="3" spans="1:19" x14ac:dyDescent="0.3">
      <c r="A3" s="3" t="s">
        <v>6</v>
      </c>
      <c r="B3" s="3">
        <v>3</v>
      </c>
      <c r="C3" s="3">
        <v>55</v>
      </c>
      <c r="E3" s="6"/>
      <c r="F3" s="3" t="s">
        <v>6</v>
      </c>
      <c r="G3" s="3">
        <v>3</v>
      </c>
      <c r="H3" s="3">
        <v>55</v>
      </c>
      <c r="I3" s="5">
        <f>SQRT((G3-$B$14)^2+((H3-$C$14)^2))</f>
        <v>5.0990195135927845</v>
      </c>
      <c r="J3" s="5">
        <f>SQRT((G3-$B$15)^2+((H3-$C$15)^2))</f>
        <v>35.693136595149497</v>
      </c>
      <c r="K3" s="3" t="str">
        <f t="shared" ref="K3:K11" si="0">IF(I3&lt;=J3,"C1","C2")</f>
        <v>C1</v>
      </c>
      <c r="M3" s="3" t="s">
        <v>6</v>
      </c>
      <c r="N3" s="3">
        <v>3</v>
      </c>
      <c r="O3" s="3">
        <v>55</v>
      </c>
      <c r="Q3" s="3" t="s">
        <v>12</v>
      </c>
      <c r="R3" s="3">
        <v>8</v>
      </c>
      <c r="S3" s="3">
        <v>80</v>
      </c>
    </row>
    <row r="4" spans="1:19" x14ac:dyDescent="0.3">
      <c r="A4" s="3" t="s">
        <v>7</v>
      </c>
      <c r="B4" s="3">
        <v>4</v>
      </c>
      <c r="C4" s="3">
        <v>60</v>
      </c>
      <c r="E4" s="6"/>
      <c r="F4" s="3" t="s">
        <v>7</v>
      </c>
      <c r="G4" s="3">
        <v>4</v>
      </c>
      <c r="H4" s="3">
        <v>60</v>
      </c>
      <c r="I4" s="5">
        <f>SQRT((G4-$B$14)^2+((H4-$C$14)^2))</f>
        <v>10.198039027185569</v>
      </c>
      <c r="J4" s="5">
        <f>SQRT((G4-$B$15)^2+((H4-$C$15)^2))</f>
        <v>30.594117081556711</v>
      </c>
      <c r="K4" s="3" t="str">
        <f t="shared" si="0"/>
        <v>C1</v>
      </c>
      <c r="M4" s="3" t="s">
        <v>7</v>
      </c>
      <c r="N4" s="3">
        <v>4</v>
      </c>
      <c r="O4" s="3">
        <v>60</v>
      </c>
      <c r="Q4" s="3" t="s">
        <v>13</v>
      </c>
      <c r="R4" s="3">
        <v>9</v>
      </c>
      <c r="S4" s="3">
        <v>85</v>
      </c>
    </row>
    <row r="5" spans="1:19" x14ac:dyDescent="0.3">
      <c r="A5" s="3" t="s">
        <v>8</v>
      </c>
      <c r="B5" s="3">
        <v>5</v>
      </c>
      <c r="C5" s="3">
        <v>65</v>
      </c>
      <c r="E5" s="6"/>
      <c r="F5" s="3" t="s">
        <v>8</v>
      </c>
      <c r="G5" s="3">
        <v>5</v>
      </c>
      <c r="H5" s="3">
        <v>65</v>
      </c>
      <c r="I5" s="5">
        <f>SQRT((G5-$B$14)^2+((H5-$C$14)^2))</f>
        <v>15.297058540778355</v>
      </c>
      <c r="J5" s="5">
        <f>SQRT((G5-$B$15)^2+((H5-$C$15)^2))</f>
        <v>25.495097567963924</v>
      </c>
      <c r="K5" s="3" t="str">
        <f t="shared" si="0"/>
        <v>C1</v>
      </c>
      <c r="M5" s="3" t="s">
        <v>8</v>
      </c>
      <c r="N5" s="3">
        <v>5</v>
      </c>
      <c r="O5" s="3">
        <v>65</v>
      </c>
      <c r="Q5" s="3" t="s">
        <v>14</v>
      </c>
      <c r="R5" s="3">
        <v>10</v>
      </c>
      <c r="S5" s="3">
        <v>90</v>
      </c>
    </row>
    <row r="6" spans="1:19" x14ac:dyDescent="0.3">
      <c r="A6" s="3" t="s">
        <v>9</v>
      </c>
      <c r="B6" s="3">
        <v>6</v>
      </c>
      <c r="C6" s="3">
        <v>70</v>
      </c>
      <c r="E6" s="6"/>
      <c r="F6" s="3" t="s">
        <v>9</v>
      </c>
      <c r="G6" s="3">
        <v>6</v>
      </c>
      <c r="H6" s="3">
        <v>70</v>
      </c>
      <c r="I6" s="5">
        <f>SQRT((G6-$B$14)^2+((H6-$C$14)^2))</f>
        <v>20.396078054371138</v>
      </c>
      <c r="J6" s="5">
        <f>SQRT((G6-$B$15)^2+((H6-$C$15)^2))</f>
        <v>20.396078054371138</v>
      </c>
      <c r="K6" s="3" t="str">
        <f t="shared" si="0"/>
        <v>C1</v>
      </c>
      <c r="M6" s="3" t="s">
        <v>9</v>
      </c>
      <c r="N6" s="3">
        <v>6</v>
      </c>
      <c r="O6" s="3">
        <v>70</v>
      </c>
      <c r="Q6" s="2" t="s">
        <v>21</v>
      </c>
      <c r="R6" s="3">
        <f>SUM(R2:R5)</f>
        <v>34</v>
      </c>
      <c r="S6" s="3">
        <f>SUM(S2:S5)</f>
        <v>330</v>
      </c>
    </row>
    <row r="7" spans="1:19" x14ac:dyDescent="0.3">
      <c r="A7" s="3" t="s">
        <v>10</v>
      </c>
      <c r="B7" s="3">
        <v>7</v>
      </c>
      <c r="C7" s="3">
        <v>75</v>
      </c>
      <c r="E7" s="6"/>
      <c r="F7" s="3" t="s">
        <v>10</v>
      </c>
      <c r="G7" s="3">
        <v>7</v>
      </c>
      <c r="H7" s="3">
        <v>75</v>
      </c>
      <c r="I7" s="5">
        <f>SQRT((G7-$B$14)^2+((H7-$C$14)^2))</f>
        <v>25.495097567963924</v>
      </c>
      <c r="J7" s="5">
        <f>SQRT((G7-$B$15)^2+((H7-$C$15)^2))</f>
        <v>15.297058540778355</v>
      </c>
      <c r="K7" s="3" t="str">
        <f t="shared" si="0"/>
        <v>C2</v>
      </c>
      <c r="M7" s="3" t="s">
        <v>15</v>
      </c>
      <c r="N7" s="3">
        <v>1</v>
      </c>
      <c r="O7" s="3">
        <v>45</v>
      </c>
      <c r="Q7" s="5" t="s">
        <v>22</v>
      </c>
      <c r="R7" s="3">
        <f>R6/4</f>
        <v>8.5</v>
      </c>
      <c r="S7" s="3">
        <f>S6/4</f>
        <v>82.5</v>
      </c>
    </row>
    <row r="8" spans="1:19" x14ac:dyDescent="0.3">
      <c r="A8" s="3" t="s">
        <v>12</v>
      </c>
      <c r="B8" s="3">
        <v>8</v>
      </c>
      <c r="C8" s="3">
        <v>80</v>
      </c>
      <c r="E8" s="6"/>
      <c r="F8" s="3" t="s">
        <v>12</v>
      </c>
      <c r="G8" s="3">
        <v>8</v>
      </c>
      <c r="H8" s="3">
        <v>80</v>
      </c>
      <c r="I8" s="5">
        <f>SQRT((G8-$B$14)^2+((H8-$C$14)^2))</f>
        <v>30.594117081556711</v>
      </c>
      <c r="J8" s="5">
        <f>SQRT((G8-$B$15)^2+((H8-$C$15)^2))</f>
        <v>10.198039027185569</v>
      </c>
      <c r="K8" s="3" t="str">
        <f t="shared" si="0"/>
        <v>C2</v>
      </c>
      <c r="M8" s="2" t="s">
        <v>21</v>
      </c>
      <c r="N8" s="3">
        <f>SUM(N2:N7)</f>
        <v>21</v>
      </c>
      <c r="O8" s="3">
        <f>SUM(O2:O7)</f>
        <v>345</v>
      </c>
    </row>
    <row r="9" spans="1:19" x14ac:dyDescent="0.3">
      <c r="A9" s="3" t="s">
        <v>13</v>
      </c>
      <c r="B9" s="3">
        <v>9</v>
      </c>
      <c r="C9" s="3">
        <v>85</v>
      </c>
      <c r="E9" s="6"/>
      <c r="F9" s="3" t="s">
        <v>13</v>
      </c>
      <c r="G9" s="3">
        <v>9</v>
      </c>
      <c r="H9" s="3">
        <v>85</v>
      </c>
      <c r="I9" s="5">
        <f>SQRT((G9-$B$14)^2+((H9-$C$14)^2))</f>
        <v>35.693136595149497</v>
      </c>
      <c r="J9" s="5">
        <f>SQRT((G9-$B$15)^2+((H9-$C$15)^2))</f>
        <v>5.0990195135927845</v>
      </c>
      <c r="K9" s="3" t="str">
        <f t="shared" si="0"/>
        <v>C2</v>
      </c>
      <c r="M9" s="5" t="s">
        <v>22</v>
      </c>
      <c r="N9" s="3">
        <f>N8/6</f>
        <v>3.5</v>
      </c>
      <c r="O9" s="3">
        <f>O8/6</f>
        <v>57.5</v>
      </c>
    </row>
    <row r="10" spans="1:19" x14ac:dyDescent="0.3">
      <c r="A10" s="3" t="s">
        <v>14</v>
      </c>
      <c r="B10" s="3">
        <v>10</v>
      </c>
      <c r="C10" s="3">
        <v>90</v>
      </c>
      <c r="E10" s="6"/>
      <c r="F10" s="3" t="s">
        <v>14</v>
      </c>
      <c r="G10" s="3">
        <v>10</v>
      </c>
      <c r="H10" s="3">
        <v>90</v>
      </c>
      <c r="I10" s="5">
        <f>SQRT((G10-$B$14)^2+((H10-$C$14)^2))</f>
        <v>40.792156108742276</v>
      </c>
      <c r="J10" s="5">
        <f>SQRT((G10-$B$15)^2+((H10-$C$15)^2))</f>
        <v>0</v>
      </c>
      <c r="K10" s="3" t="str">
        <f t="shared" si="0"/>
        <v>C2</v>
      </c>
      <c r="M10" s="3"/>
      <c r="N10" s="3"/>
    </row>
    <row r="11" spans="1:19" x14ac:dyDescent="0.3">
      <c r="A11" s="3" t="s">
        <v>15</v>
      </c>
      <c r="B11" s="3">
        <v>1</v>
      </c>
      <c r="C11" s="3">
        <v>45</v>
      </c>
      <c r="E11" s="6"/>
      <c r="F11" s="3" t="s">
        <v>15</v>
      </c>
      <c r="G11" s="3">
        <v>1</v>
      </c>
      <c r="H11" s="3">
        <v>45</v>
      </c>
      <c r="I11" s="5">
        <f>SQRT((G11-$B$14)^2+((H11-$C$14)^2))</f>
        <v>5.0990195135927845</v>
      </c>
      <c r="J11" s="5">
        <f>SQRT((G11-$B$15)^2+((H11-$C$15)^2))</f>
        <v>45.891175622335062</v>
      </c>
      <c r="K11" s="3" t="str">
        <f t="shared" si="0"/>
        <v>C1</v>
      </c>
      <c r="M11" s="3"/>
      <c r="N11" s="3"/>
    </row>
    <row r="13" spans="1:19" x14ac:dyDescent="0.3">
      <c r="A13" s="1" t="s">
        <v>23</v>
      </c>
    </row>
    <row r="14" spans="1:19" x14ac:dyDescent="0.3">
      <c r="A14" s="4" t="s">
        <v>16</v>
      </c>
      <c r="B14" s="3">
        <v>2</v>
      </c>
      <c r="C14" s="3">
        <v>50</v>
      </c>
    </row>
    <row r="15" spans="1:19" x14ac:dyDescent="0.3">
      <c r="A15" s="4" t="s">
        <v>17</v>
      </c>
      <c r="B15" s="3">
        <v>10</v>
      </c>
      <c r="C15" s="3">
        <v>90</v>
      </c>
    </row>
    <row r="17" spans="1:19" x14ac:dyDescent="0.3">
      <c r="A17" s="1" t="s">
        <v>24</v>
      </c>
      <c r="E17" s="6" t="s">
        <v>27</v>
      </c>
      <c r="F17" s="1" t="s">
        <v>0</v>
      </c>
      <c r="G17" s="1" t="s">
        <v>18</v>
      </c>
      <c r="H17" s="1" t="s">
        <v>19</v>
      </c>
      <c r="I17" s="1" t="s">
        <v>1</v>
      </c>
      <c r="J17" s="1" t="s">
        <v>2</v>
      </c>
      <c r="K17" s="1" t="s">
        <v>3</v>
      </c>
      <c r="M17" s="6" t="s">
        <v>5</v>
      </c>
      <c r="N17" s="6"/>
      <c r="O17" s="6"/>
      <c r="Q17" s="6" t="s">
        <v>11</v>
      </c>
      <c r="R17" s="6"/>
      <c r="S17" s="6"/>
    </row>
    <row r="18" spans="1:19" x14ac:dyDescent="0.3">
      <c r="A18" s="3" t="s">
        <v>25</v>
      </c>
      <c r="B18" s="3">
        <v>3.5</v>
      </c>
      <c r="C18" s="3">
        <v>57.5</v>
      </c>
      <c r="E18" s="6"/>
      <c r="F18" s="3" t="s">
        <v>4</v>
      </c>
      <c r="G18" s="3">
        <v>2</v>
      </c>
      <c r="H18" s="3">
        <v>50</v>
      </c>
      <c r="I18" s="5">
        <f>SQRT((G18-$B$18)^2+((H18-$C$18)^2))</f>
        <v>7.6485292703891776</v>
      </c>
      <c r="J18" s="5">
        <f>SQRT((G18-$B$19)^2+((H18-$C$19)^2))</f>
        <v>33.1436268383531</v>
      </c>
      <c r="K18" s="3" t="str">
        <f>IF(I18&lt;=J18,"C1","C2")</f>
        <v>C1</v>
      </c>
      <c r="M18" s="3" t="s">
        <v>4</v>
      </c>
      <c r="N18" s="3">
        <v>2</v>
      </c>
      <c r="O18" s="3">
        <v>50</v>
      </c>
      <c r="Q18" s="3" t="s">
        <v>10</v>
      </c>
      <c r="R18" s="3">
        <v>7</v>
      </c>
      <c r="S18" s="3">
        <v>75</v>
      </c>
    </row>
    <row r="19" spans="1:19" x14ac:dyDescent="0.3">
      <c r="A19" s="3" t="s">
        <v>26</v>
      </c>
      <c r="B19" s="3">
        <v>8.5</v>
      </c>
      <c r="C19" s="3">
        <v>82.5</v>
      </c>
      <c r="E19" s="6"/>
      <c r="F19" s="3" t="s">
        <v>6</v>
      </c>
      <c r="G19" s="3">
        <v>3</v>
      </c>
      <c r="H19" s="3">
        <v>55</v>
      </c>
      <c r="I19" s="5">
        <f t="shared" ref="I19:I27" si="1">SQRT((G19-$B$18)^2+((H19-$C$18)^2))</f>
        <v>2.5495097567963922</v>
      </c>
      <c r="J19" s="5">
        <f t="shared" ref="J19:J27" si="2">SQRT((G19-$B$19)^2+((H19-$C$19)^2))</f>
        <v>28.044607324760317</v>
      </c>
      <c r="K19" s="3" t="str">
        <f t="shared" ref="K19:K27" si="3">IF(I19&lt;=J19,"C1","C2")</f>
        <v>C1</v>
      </c>
      <c r="M19" s="3" t="s">
        <v>6</v>
      </c>
      <c r="N19" s="3">
        <v>3</v>
      </c>
      <c r="O19" s="3">
        <v>55</v>
      </c>
      <c r="Q19" s="3" t="s">
        <v>12</v>
      </c>
      <c r="R19" s="3">
        <v>8</v>
      </c>
      <c r="S19" s="3">
        <v>80</v>
      </c>
    </row>
    <row r="20" spans="1:19" x14ac:dyDescent="0.3">
      <c r="E20" s="6"/>
      <c r="F20" s="3" t="s">
        <v>7</v>
      </c>
      <c r="G20" s="3">
        <v>4</v>
      </c>
      <c r="H20" s="3">
        <v>60</v>
      </c>
      <c r="I20" s="5">
        <f t="shared" si="1"/>
        <v>2.5495097567963922</v>
      </c>
      <c r="J20" s="5">
        <f t="shared" si="2"/>
        <v>22.945587811167531</v>
      </c>
      <c r="K20" s="3" t="str">
        <f t="shared" si="3"/>
        <v>C1</v>
      </c>
      <c r="M20" s="3" t="s">
        <v>7</v>
      </c>
      <c r="N20" s="3">
        <v>4</v>
      </c>
      <c r="O20" s="3">
        <v>60</v>
      </c>
      <c r="Q20" s="3" t="s">
        <v>13</v>
      </c>
      <c r="R20" s="3">
        <v>9</v>
      </c>
      <c r="S20" s="3">
        <v>85</v>
      </c>
    </row>
    <row r="21" spans="1:19" x14ac:dyDescent="0.3">
      <c r="E21" s="6"/>
      <c r="F21" s="3" t="s">
        <v>8</v>
      </c>
      <c r="G21" s="3">
        <v>5</v>
      </c>
      <c r="H21" s="3">
        <v>65</v>
      </c>
      <c r="I21" s="5">
        <f t="shared" si="1"/>
        <v>7.6485292703891776</v>
      </c>
      <c r="J21" s="5">
        <f t="shared" si="2"/>
        <v>17.846568297574748</v>
      </c>
      <c r="K21" s="3" t="str">
        <f t="shared" si="3"/>
        <v>C1</v>
      </c>
      <c r="M21" s="3" t="s">
        <v>8</v>
      </c>
      <c r="N21" s="3">
        <v>5</v>
      </c>
      <c r="O21" s="3">
        <v>65</v>
      </c>
      <c r="Q21" s="3" t="s">
        <v>14</v>
      </c>
      <c r="R21" s="3">
        <v>10</v>
      </c>
      <c r="S21" s="3">
        <v>90</v>
      </c>
    </row>
    <row r="22" spans="1:19" x14ac:dyDescent="0.3">
      <c r="E22" s="6"/>
      <c r="F22" s="3" t="s">
        <v>9</v>
      </c>
      <c r="G22" s="3">
        <v>6</v>
      </c>
      <c r="H22" s="3">
        <v>70</v>
      </c>
      <c r="I22" s="5">
        <f t="shared" si="1"/>
        <v>12.747548783981962</v>
      </c>
      <c r="J22" s="5">
        <f t="shared" si="2"/>
        <v>12.747548783981962</v>
      </c>
      <c r="K22" s="3" t="str">
        <f t="shared" si="3"/>
        <v>C1</v>
      </c>
      <c r="M22" s="3" t="s">
        <v>9</v>
      </c>
      <c r="N22" s="3">
        <v>6</v>
      </c>
      <c r="O22" s="3">
        <v>70</v>
      </c>
      <c r="Q22" s="2"/>
    </row>
    <row r="23" spans="1:19" x14ac:dyDescent="0.3">
      <c r="E23" s="6"/>
      <c r="F23" s="3" t="s">
        <v>10</v>
      </c>
      <c r="G23" s="3">
        <v>7</v>
      </c>
      <c r="H23" s="3">
        <v>75</v>
      </c>
      <c r="I23" s="5">
        <f t="shared" si="1"/>
        <v>17.846568297574748</v>
      </c>
      <c r="J23" s="5">
        <f t="shared" si="2"/>
        <v>7.6485292703891776</v>
      </c>
      <c r="K23" s="3" t="str">
        <f t="shared" si="3"/>
        <v>C2</v>
      </c>
      <c r="M23" s="3" t="s">
        <v>15</v>
      </c>
      <c r="N23" s="3">
        <v>1</v>
      </c>
      <c r="O23" s="3">
        <v>45</v>
      </c>
      <c r="Q23" s="5"/>
    </row>
    <row r="24" spans="1:19" x14ac:dyDescent="0.3">
      <c r="E24" s="6"/>
      <c r="F24" s="3" t="s">
        <v>12</v>
      </c>
      <c r="G24" s="3">
        <v>8</v>
      </c>
      <c r="H24" s="3">
        <v>80</v>
      </c>
      <c r="I24" s="5">
        <f t="shared" si="1"/>
        <v>22.945587811167531</v>
      </c>
      <c r="J24" s="5">
        <f t="shared" si="2"/>
        <v>2.5495097567963922</v>
      </c>
      <c r="K24" s="3" t="str">
        <f t="shared" si="3"/>
        <v>C2</v>
      </c>
    </row>
    <row r="25" spans="1:19" x14ac:dyDescent="0.3">
      <c r="E25" s="6"/>
      <c r="F25" s="3" t="s">
        <v>13</v>
      </c>
      <c r="G25" s="3">
        <v>9</v>
      </c>
      <c r="H25" s="3">
        <v>85</v>
      </c>
      <c r="I25" s="5">
        <f t="shared" si="1"/>
        <v>28.044607324760317</v>
      </c>
      <c r="J25" s="5">
        <f t="shared" si="2"/>
        <v>2.5495097567963922</v>
      </c>
      <c r="K25" s="3" t="str">
        <f t="shared" si="3"/>
        <v>C2</v>
      </c>
    </row>
    <row r="26" spans="1:19" x14ac:dyDescent="0.3">
      <c r="E26" s="6"/>
      <c r="F26" s="3" t="s">
        <v>14</v>
      </c>
      <c r="G26" s="3">
        <v>10</v>
      </c>
      <c r="H26" s="3">
        <v>90</v>
      </c>
      <c r="I26" s="5">
        <f t="shared" si="1"/>
        <v>33.1436268383531</v>
      </c>
      <c r="J26" s="5">
        <f t="shared" si="2"/>
        <v>7.6485292703891776</v>
      </c>
      <c r="K26" s="3" t="str">
        <f t="shared" si="3"/>
        <v>C2</v>
      </c>
    </row>
    <row r="27" spans="1:19" x14ac:dyDescent="0.3">
      <c r="E27" s="6"/>
      <c r="F27" s="3" t="s">
        <v>15</v>
      </c>
      <c r="G27" s="3">
        <v>1</v>
      </c>
      <c r="H27" s="3">
        <v>45</v>
      </c>
      <c r="I27" s="5">
        <f t="shared" si="1"/>
        <v>12.747548783981962</v>
      </c>
      <c r="J27" s="5">
        <f t="shared" si="2"/>
        <v>38.242646351945886</v>
      </c>
      <c r="K27" s="3" t="str">
        <f t="shared" si="3"/>
        <v>C1</v>
      </c>
    </row>
    <row r="29" spans="1:19" x14ac:dyDescent="0.3">
      <c r="E29" s="6" t="s">
        <v>28</v>
      </c>
      <c r="F29" s="6"/>
      <c r="G29" s="6"/>
      <c r="H29" s="6"/>
      <c r="I29" s="6"/>
      <c r="J29" s="6"/>
      <c r="K29" s="6"/>
    </row>
    <row r="31" spans="1:19" x14ac:dyDescent="0.3">
      <c r="G31" s="3" t="s">
        <v>29</v>
      </c>
      <c r="H31" s="3" t="s">
        <v>30</v>
      </c>
      <c r="I31" s="3" t="s">
        <v>31</v>
      </c>
      <c r="J31" s="3" t="s">
        <v>32</v>
      </c>
      <c r="K31" s="3" t="s">
        <v>33</v>
      </c>
    </row>
    <row r="32" spans="1:19" x14ac:dyDescent="0.3">
      <c r="F32" s="3" t="s">
        <v>4</v>
      </c>
      <c r="G32" s="3">
        <f>(SQRT((G18-G19)^2+(H18-H19)^2) + SQRT((G18-G20)^2+(H18-H20)^2) + SQRT((G18-G21)^2+(H18-H21)^2) + SQRT((G18-G22)^2+(H18-H22)^2) + SQRT((G18-G27)^2+(H18-H27)^2)) /5</f>
        <v>11.217842929904126</v>
      </c>
      <c r="H32" s="3">
        <f>(SQRT((G18-G23)^2+(H18-H23)^2)+SQRT((G18-G24)^2+(H18-H24)^2)+SQRT((G18-G25)^2+(H18-H25)^2)+SQRT((G18-G26)^2+(H18-H26)^2))/4</f>
        <v>33.1436268383531</v>
      </c>
      <c r="I32" s="3">
        <f>(H32-G32)/MAX(G32,H32)</f>
        <v>0.66153846153846152</v>
      </c>
      <c r="J32" s="3" t="str">
        <f>IF(I32&gt;=0.7,"Strong",IF(I32&gt;=0.5,"Reasonable",IF(I32&gt;=0.25,"Weak","No Structure")))</f>
        <v>Reasonable</v>
      </c>
      <c r="K32" s="3" t="str">
        <f>IF(I32&gt;=0.7,"Cluster sangat baik",IF(I32&gt;=0.5,"Cluster cukup baik",IF(I32&gt;=0.25,"Cluster lemah","Cluster tidak valid")))</f>
        <v>Cluster cukup baik</v>
      </c>
    </row>
    <row r="33" spans="6:11" x14ac:dyDescent="0.3">
      <c r="F33" s="3" t="s">
        <v>6</v>
      </c>
      <c r="G33" s="3">
        <f>(SQRT((G19-G18)^2+(H19-H18)^2)+SQRT((G19-G20)^2+(H19-H20)^2)+SQRT((G19-G21)^2+(H19-H21)^2)+SQRT((G19-G22)^2+(H19-H22)^2)+SQRT((G19-G27)^2+(H19-H27)^2))/5</f>
        <v>9.1782351244670135</v>
      </c>
      <c r="H33" s="3">
        <f>(SQRT((G19-G23)^2+(H19-H23)^2)+SQRT((G19-G24)^2+(H19-H24)^2)+SQRT((G19-G25)^2+(H19-H25)^2)+SQRT((G19-G26)^2+(H19-H26)^2))/4</f>
        <v>28.044607324760317</v>
      </c>
      <c r="I33" s="3">
        <f t="shared" ref="I33:I41" si="4">(H33-G33)/MAX(G33,H33)</f>
        <v>0.67272727272727273</v>
      </c>
      <c r="J33" s="3" t="str">
        <f t="shared" ref="J33:J42" si="5">IF(I33&gt;=0.7,"Strong",IF(I33&gt;=0.5,"Reasonable",IF(I33&gt;=0.25,"Weak","No Structure")))</f>
        <v>Reasonable</v>
      </c>
      <c r="K33" s="3" t="str">
        <f t="shared" ref="K33:K42" si="6">IF(I33&gt;=0.7,"Cluster sangat baik",IF(I33&gt;=0.5,"Cluster cukup baik",IF(I33&gt;=0.25,"Cluster lemah","Cluster tidak valid")))</f>
        <v>Cluster cukup baik</v>
      </c>
    </row>
    <row r="34" spans="6:11" x14ac:dyDescent="0.3">
      <c r="F34" s="3" t="s">
        <v>7</v>
      </c>
      <c r="G34" s="3">
        <f>(SQRT((G20-G18)^2+(H20-H18)^2)+SQRT((G20-G19)^2+(H20-H19)^2)+SQRT((G20-G21)^2+(H20-H21)^2)+SQRT((G20-G22)^2+(H20-H22)^2)+SQRT((G20-G27)^2+(H20-H27)^2))/5</f>
        <v>9.1782351244670117</v>
      </c>
      <c r="H34" s="3">
        <f>(SQRT((G20-G23)^2+(H20-H23)^2)+SQRT((G20-G24)^2+(H20-H24)^2)+SQRT((G20-G25)^2+(H20-H25)^2)+SQRT((G20-G26)^2+(H20-H26)^2))/4</f>
        <v>22.945587811167535</v>
      </c>
      <c r="I34" s="3">
        <f t="shared" si="4"/>
        <v>0.60000000000000009</v>
      </c>
      <c r="J34" s="3" t="str">
        <f t="shared" si="5"/>
        <v>Reasonable</v>
      </c>
      <c r="K34" s="3" t="str">
        <f t="shared" si="6"/>
        <v>Cluster cukup baik</v>
      </c>
    </row>
    <row r="35" spans="6:11" x14ac:dyDescent="0.3">
      <c r="F35" s="3" t="s">
        <v>8</v>
      </c>
      <c r="G35" s="3">
        <f>(SQRT((G21-G18)^2+(H21-H18)^2)+SQRT((G21-G19)^2+(H21-H19)^2)+SQRT((G21-G20)^2+(H21-H20)^2)+SQRT((G21-G22)^2+(H21-H22)^2)+SQRT((G21-G27)^2+(H21-H27)^2))/5</f>
        <v>11.217842929904126</v>
      </c>
      <c r="H35" s="3">
        <f>(SQRT((G21-G23)^2+(H21-H23)^2)+SQRT((G21-G24)^2+(H21-H24)^2)+SQRT((G21-G25)^2+(H21-H25)^2)+SQRT((G21-G26)^2+(H21-H26)^2))/4</f>
        <v>17.846568297574748</v>
      </c>
      <c r="I35" s="3">
        <f t="shared" si="4"/>
        <v>0.3714285714285715</v>
      </c>
      <c r="J35" s="3" t="str">
        <f t="shared" si="5"/>
        <v>Weak</v>
      </c>
      <c r="K35" s="3" t="str">
        <f t="shared" si="6"/>
        <v>Cluster lemah</v>
      </c>
    </row>
    <row r="36" spans="6:11" x14ac:dyDescent="0.3">
      <c r="F36" s="3" t="s">
        <v>9</v>
      </c>
      <c r="G36" s="3">
        <f>(SQRT((G22-G18)^2+(H22-H18)^2)+SQRT((G22-G19)^2+(H22-H19)^2)+SQRT((G22-G20)^2+(H22-H20)^2)+SQRT((G22-G21)^2+(H22-H21)^2)+SQRT((G22-G27)^2+(H22-H27)^2))/5</f>
        <v>15.297058540778357</v>
      </c>
      <c r="H36" s="3">
        <f>(SQRT((G22-G23)^2+(H22-H23)^2)+SQRT((G22-G24)^2+(H22-H24)^2)+SQRT((G22-G25)^2+(H22-H25)^2)+SQRT((G22-G26)^2+(H22-H26)^2))/4</f>
        <v>12.747548783981962</v>
      </c>
      <c r="I36" s="3">
        <f t="shared" si="4"/>
        <v>-0.1666666666666668</v>
      </c>
      <c r="J36" s="3" t="str">
        <f t="shared" si="5"/>
        <v>No Structure</v>
      </c>
      <c r="K36" s="3" t="str">
        <f t="shared" si="6"/>
        <v>Cluster tidak valid</v>
      </c>
    </row>
    <row r="37" spans="6:11" x14ac:dyDescent="0.3">
      <c r="F37" s="3" t="s">
        <v>10</v>
      </c>
      <c r="G37" s="3">
        <f>(SQRT((G23-G24)^2+(H23-H24)^2)+SQRT((G23-G25)^2+(H23-H25)^2)+SQRT((G23-G26)^2+(H23-H26)^2))/3</f>
        <v>10.198039027185571</v>
      </c>
      <c r="H37" s="3">
        <f>(SQRT((G23-G18)^2+(H23-H18)^2)+SQRT((G23-G19)^2+(H23-H19)^2)+SQRT((G23-G20)^2+(H23-H20)^2)+SQRT((G23-G21)^2+(H23-H21)^2)+SQRT((G23-G22)^2+(H23-H22)^2)+SQRT((G23-G27)^2+(H23-H27)^2))/6</f>
        <v>17.846568297574748</v>
      </c>
      <c r="I37" s="3">
        <f t="shared" si="4"/>
        <v>0.42857142857142855</v>
      </c>
      <c r="J37" s="3" t="str">
        <f t="shared" si="5"/>
        <v>Weak</v>
      </c>
      <c r="K37" s="3" t="str">
        <f t="shared" si="6"/>
        <v>Cluster lemah</v>
      </c>
    </row>
    <row r="38" spans="6:11" x14ac:dyDescent="0.3">
      <c r="F38" s="3" t="s">
        <v>12</v>
      </c>
      <c r="G38" s="3">
        <f>(SQRT((G24-G23)^2+(H24-H23)^2)+SQRT((G24-G25)^2+(H24-H25)^2)+SQRT((G24-G26)^2+(H24-H26)^2))/3</f>
        <v>6.798692684790379</v>
      </c>
      <c r="H38" s="3">
        <f>(SQRT((G24-G18)^2+(H24-H18)^2)+SQRT((G24-G19)^2+(H24-H19)^2)+SQRT((G24-G20)^2+(H24-H20)^2)+SQRT((G24-G21)^2+(H24-H21)^2)+SQRT((G24-G22)^2+(H24-H22)^2)+SQRT((G24-G27)^2+(H24-H27)^2))/6</f>
        <v>22.945587811167531</v>
      </c>
      <c r="I38" s="3">
        <f t="shared" si="4"/>
        <v>0.70370370370370372</v>
      </c>
      <c r="J38" s="3" t="str">
        <f t="shared" si="5"/>
        <v>Strong</v>
      </c>
      <c r="K38" s="3" t="str">
        <f t="shared" si="6"/>
        <v>Cluster sangat baik</v>
      </c>
    </row>
    <row r="39" spans="6:11" x14ac:dyDescent="0.3">
      <c r="F39" s="3" t="s">
        <v>13</v>
      </c>
      <c r="G39" s="3">
        <f>(SQRT((G25-G23)^2+(H25-H23)^2)+SQRT((G25-G24)^2+(H25-H24)^2)+SQRT((G25-G26)^2+(H25-H26)^2))/3</f>
        <v>6.798692684790379</v>
      </c>
      <c r="H39" s="3">
        <f>(SQRT((G25-G18)^2+(H25-H18)^2)+SQRT((G25-G19)^2+(H25-H19)^2)+SQRT((G25-G20)^2+(H25-H20)^2)+SQRT((G25-G21)^2+(H25-H21)^2)+SQRT((G25-G22)^2+(H25-H22)^2)+SQRT((G25-G27)^2+(H25-H27)^2))/6</f>
        <v>28.044607324760317</v>
      </c>
      <c r="I39" s="3">
        <f t="shared" si="4"/>
        <v>0.75757575757575768</v>
      </c>
      <c r="J39" s="3" t="str">
        <f t="shared" si="5"/>
        <v>Strong</v>
      </c>
      <c r="K39" s="3" t="str">
        <f t="shared" si="6"/>
        <v>Cluster sangat baik</v>
      </c>
    </row>
    <row r="40" spans="6:11" x14ac:dyDescent="0.3">
      <c r="F40" s="3" t="s">
        <v>14</v>
      </c>
      <c r="G40" s="3">
        <f>(SQRT((G26-G23)^2+(H26-H23)^2)+SQRT((G26-G24)^2+(H26-H24)^2)+SQRT((G26-G25)^2+(H26-H25)^2))/3</f>
        <v>10.198039027185571</v>
      </c>
      <c r="H40" s="3">
        <f>(SQRT((G26-G18)^2+(H26-H18)^2)+SQRT((G26-G19)^2+(H26-H19)^2)+SQRT((G26-G20)^2+(H26-H20)^2)+SQRT((G26-G21)^2+(H26-H21)^2)+SQRT((G26-G22)^2+(H26-H22)^2)+SQRT((G26-G27)^2+(H26-H27)^2))/6</f>
        <v>33.1436268383531</v>
      </c>
      <c r="I40" s="3">
        <f t="shared" si="4"/>
        <v>0.69230769230769218</v>
      </c>
      <c r="J40" s="3" t="str">
        <f t="shared" si="5"/>
        <v>Reasonable</v>
      </c>
      <c r="K40" s="3" t="str">
        <f t="shared" si="6"/>
        <v>Cluster cukup baik</v>
      </c>
    </row>
    <row r="41" spans="6:11" x14ac:dyDescent="0.3">
      <c r="F41" s="3" t="s">
        <v>15</v>
      </c>
      <c r="G41" s="3">
        <f>(SQRT((G27-G18)^2+(H27-H18)^2)+SQRT((G27-G19)^2+(H27-H19)^2)+SQRT((G27-G20)^2+(H27-H20)^2)+SQRT((G27-G21)^2+(H27-H21)^2)+SQRT((G27-G22)^2+(H27-H22)^2))/5</f>
        <v>15.297058540778355</v>
      </c>
      <c r="H41" s="3">
        <f>(SQRT((G27-G23)^2+(H27-H23)^2)+SQRT((G27-G24)^2+(H27-H24)^2)+SQRT((G27-G25)^2+(H27-H25)^2)+SQRT((G27-G26)^2+(H27-H26)^2))/4</f>
        <v>38.242646351945886</v>
      </c>
      <c r="I41" s="3">
        <f t="shared" si="4"/>
        <v>0.6</v>
      </c>
      <c r="J41" s="3" t="str">
        <f t="shared" si="5"/>
        <v>Reasonable</v>
      </c>
      <c r="K41" s="3" t="str">
        <f t="shared" si="6"/>
        <v>Cluster cukup baik</v>
      </c>
    </row>
    <row r="42" spans="6:11" x14ac:dyDescent="0.3">
      <c r="F42" s="6" t="s">
        <v>34</v>
      </c>
      <c r="G42" s="6"/>
      <c r="H42" s="6"/>
      <c r="I42" s="3">
        <f>AVERAGE(I32:I41)</f>
        <v>0.53211862211862204</v>
      </c>
      <c r="J42" s="3" t="str">
        <f t="shared" si="5"/>
        <v>Reasonable</v>
      </c>
      <c r="K42" s="3" t="str">
        <f t="shared" si="6"/>
        <v>Cluster cukup baik</v>
      </c>
    </row>
  </sheetData>
  <mergeCells count="8">
    <mergeCell ref="E1:E11"/>
    <mergeCell ref="E17:E27"/>
    <mergeCell ref="M17:O17"/>
    <mergeCell ref="Q17:S17"/>
    <mergeCell ref="E29:K29"/>
    <mergeCell ref="F42:H42"/>
    <mergeCell ref="Q1:S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Afrizal Dwi Ahmad</dc:creator>
  <cp:lastModifiedBy>Afrizal Dwi Ahmad</cp:lastModifiedBy>
  <dcterms:created xsi:type="dcterms:W3CDTF">2026-04-28T02:43:56Z</dcterms:created>
  <dcterms:modified xsi:type="dcterms:W3CDTF">2026-04-28T05:50:36Z</dcterms:modified>
</cp:coreProperties>
</file>